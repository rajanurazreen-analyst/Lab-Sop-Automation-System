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67ca6634a69034/Desktop/UPSKILL PROGRESS/GITHUB/Lab Automation Inventory/"/>
    </mc:Choice>
  </mc:AlternateContent>
  <xr:revisionPtr revIDLastSave="0" documentId="14_{C457E238-7E4F-48C0-9C8C-764718E91350}" xr6:coauthVersionLast="47" xr6:coauthVersionMax="47" xr10:uidLastSave="{00000000-0000-0000-0000-000000000000}"/>
  <bookViews>
    <workbookView xWindow="-108" yWindow="-108" windowWidth="23256" windowHeight="12576" xr2:uid="{0C53F2B5-AD1F-439E-8131-6D07CC1CC1BC}"/>
  </bookViews>
  <sheets>
    <sheet name="SOP expiry date" sheetId="1" r:id="rId1"/>
    <sheet name="SOP owners" sheetId="2" r:id="rId2"/>
  </sheets>
  <definedNames>
    <definedName name="A" localSheetId="1">'SOP owners'!$XET$9</definedName>
    <definedName name="A">'SOP expiry date'!$XES$9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G4" i="1"/>
  <c r="G5" i="1"/>
  <c r="G6" i="1"/>
  <c r="G7" i="1"/>
</calcChain>
</file>

<file path=xl/sharedStrings.xml><?xml version="1.0" encoding="utf-8"?>
<sst xmlns="http://schemas.openxmlformats.org/spreadsheetml/2006/main" count="51" uniqueCount="30">
  <si>
    <t>LIST OF EXPIRING STANDARD OPERATING PROCEDURES MICROBIOLOGY LAB</t>
  </si>
  <si>
    <t>NO</t>
  </si>
  <si>
    <t>SOP NO</t>
  </si>
  <si>
    <t>REV NO</t>
  </si>
  <si>
    <t>SOP TITLE</t>
  </si>
  <si>
    <t>EFFECTIVE DATE</t>
  </si>
  <si>
    <t>NEXT REVIEW DATE</t>
  </si>
  <si>
    <t>DAYS LEFT BEFORE EXPIRY</t>
  </si>
  <si>
    <t>SOP 01</t>
  </si>
  <si>
    <t>SOP 02</t>
  </si>
  <si>
    <t>SOP 03</t>
  </si>
  <si>
    <t>SOP 04</t>
  </si>
  <si>
    <t>SOP 05</t>
  </si>
  <si>
    <t>SOP A</t>
  </si>
  <si>
    <t>SOP B</t>
  </si>
  <si>
    <t>SOP C</t>
  </si>
  <si>
    <t>SOP E</t>
  </si>
  <si>
    <t>SOP R</t>
  </si>
  <si>
    <t>SOP OWNERS</t>
  </si>
  <si>
    <t xml:space="preserve"> QC Dept</t>
  </si>
  <si>
    <t>QA Dept</t>
  </si>
  <si>
    <t>QC Dept</t>
  </si>
  <si>
    <t>ENG Dept</t>
  </si>
  <si>
    <t>HR Dept</t>
  </si>
  <si>
    <t>PIC EMAIL</t>
  </si>
  <si>
    <t>rajazreenwork@gmail.com</t>
  </si>
  <si>
    <t>Legend</t>
  </si>
  <si>
    <t>more than 90 days upon expiry</t>
  </si>
  <si>
    <t>less than 90 days upon expiry</t>
  </si>
  <si>
    <t>Overdue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</si>
</sst>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1" xfId="1" applyBorder="1"/>
    <xf numFmtId="0" fontId="3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0" xfId="0" applyFill="1"/>
    <xf numFmtId="0" fontId="0" fillId="4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rajazreenwork@gmail.com" TargetMode="External"/><Relationship Id="rId1" Type="http://schemas.openxmlformats.org/officeDocument/2006/relationships/hyperlink" Target="mailto:rajazreenwor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B356C-8A1B-4B2E-9511-C139CDC653E4}">
  <dimension ref="A1:G14"/>
  <sheetViews>
    <sheetView tabSelected="1" workbookViewId="0">
      <selection activeCell="F20" sqref="F20"/>
    </sheetView>
  </sheetViews>
  <sheetFormatPr defaultRowHeight="14.4" x14ac:dyDescent="0.3"/>
  <cols>
    <col min="1" max="1" width="3.6640625" bestFit="1" customWidth="1"/>
    <col min="2" max="2" width="7.33203125" bestFit="1" customWidth="1"/>
    <col min="4" max="4" width="20.33203125" customWidth="1"/>
    <col min="5" max="6" width="27.33203125" customWidth="1"/>
    <col min="7" max="7" width="23.21875" bestFit="1" customWidth="1"/>
  </cols>
  <sheetData>
    <row r="1" spans="1:7" ht="18" x14ac:dyDescent="0.35">
      <c r="A1" s="6" t="s">
        <v>0</v>
      </c>
      <c r="B1" s="6"/>
      <c r="C1" s="6"/>
      <c r="D1" s="6"/>
      <c r="E1" s="6"/>
      <c r="F1" s="6"/>
      <c r="G1" s="6"/>
    </row>
    <row r="3" spans="1:7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3">
      <c r="A4" s="1">
        <v>1</v>
      </c>
      <c r="B4" s="1" t="s">
        <v>8</v>
      </c>
      <c r="C4" s="1">
        <v>9</v>
      </c>
      <c r="D4" s="1" t="s">
        <v>13</v>
      </c>
      <c r="E4" s="2">
        <v>45670</v>
      </c>
      <c r="F4" s="2">
        <v>46400</v>
      </c>
      <c r="G4" s="1" t="str">
        <f t="shared" ref="G4:G8" ca="1" si="0">IF(F4 &lt; TODAY(), "OVERDUE", DATEDIF(TODAY(), F4, "M") &amp; " months and " &amp; DATEDIF(TODAY(), F4, "MD") &amp; " days")</f>
        <v>7 months and 1 days</v>
      </c>
    </row>
    <row r="5" spans="1:7" x14ac:dyDescent="0.3">
      <c r="A5" s="1">
        <v>2</v>
      </c>
      <c r="B5" s="1" t="s">
        <v>9</v>
      </c>
      <c r="C5" s="1">
        <v>7</v>
      </c>
      <c r="D5" s="1" t="s">
        <v>14</v>
      </c>
      <c r="E5" s="2">
        <v>45657</v>
      </c>
      <c r="F5" s="2">
        <v>46387</v>
      </c>
      <c r="G5" s="1" t="str">
        <f t="shared" ca="1" si="0"/>
        <v>6 months and 19 days</v>
      </c>
    </row>
    <row r="6" spans="1:7" x14ac:dyDescent="0.3">
      <c r="A6" s="1">
        <v>3</v>
      </c>
      <c r="B6" s="1" t="s">
        <v>10</v>
      </c>
      <c r="C6" s="1">
        <v>5</v>
      </c>
      <c r="D6" s="1" t="s">
        <v>15</v>
      </c>
      <c r="E6" s="2">
        <v>45342</v>
      </c>
      <c r="F6" s="2">
        <v>46073</v>
      </c>
      <c r="G6" s="1" t="str">
        <f t="shared" ca="1" si="0"/>
        <v>OVERDUE</v>
      </c>
    </row>
    <row r="7" spans="1:7" x14ac:dyDescent="0.3">
      <c r="A7" s="1">
        <v>4</v>
      </c>
      <c r="B7" s="1" t="s">
        <v>11</v>
      </c>
      <c r="C7" s="1">
        <v>4</v>
      </c>
      <c r="D7" s="1" t="s">
        <v>16</v>
      </c>
      <c r="E7" s="2">
        <v>45247</v>
      </c>
      <c r="F7" s="2">
        <v>46220</v>
      </c>
      <c r="G7" s="1" t="str">
        <f ca="1">IF(F7 &lt; TODAY(), "OVERDUE", DATEDIF(TODAY(), F7, "M") &amp; " months and " &amp; DATEDIF(TODAY(), F7, "MD") &amp; " days")</f>
        <v>1 months and 5 days</v>
      </c>
    </row>
    <row r="8" spans="1:7" x14ac:dyDescent="0.3">
      <c r="A8" s="1">
        <v>5</v>
      </c>
      <c r="B8" s="1" t="s">
        <v>12</v>
      </c>
      <c r="C8" s="1">
        <v>2</v>
      </c>
      <c r="D8" s="1" t="s">
        <v>17</v>
      </c>
      <c r="E8" s="2">
        <v>45330</v>
      </c>
      <c r="F8" s="2">
        <v>46061</v>
      </c>
      <c r="G8" s="1" t="str">
        <f t="shared" ca="1" si="0"/>
        <v>OVERDUE</v>
      </c>
    </row>
    <row r="11" spans="1:7" x14ac:dyDescent="0.3">
      <c r="B11" s="7" t="s">
        <v>26</v>
      </c>
    </row>
    <row r="12" spans="1:7" x14ac:dyDescent="0.3">
      <c r="C12" s="8"/>
      <c r="D12" t="s">
        <v>27</v>
      </c>
    </row>
    <row r="13" spans="1:7" x14ac:dyDescent="0.3">
      <c r="C13" s="9"/>
      <c r="D13" t="s">
        <v>28</v>
      </c>
    </row>
    <row r="14" spans="1:7" x14ac:dyDescent="0.3">
      <c r="C14" s="10"/>
      <c r="D14" t="s">
        <v>29</v>
      </c>
    </row>
  </sheetData>
  <mergeCells count="1">
    <mergeCell ref="A1:G1"/>
  </mergeCells>
  <phoneticPr fontId="2" type="noConversion"/>
  <conditionalFormatting sqref="G4:G8">
    <cfRule type="expression" dxfId="2" priority="1">
      <formula>F4 &lt;TODAY()</formula>
    </cfRule>
    <cfRule type="expression" dxfId="1" priority="2">
      <formula>AND(F4&gt;=TODAY(), F4&lt;=(TODAY()+90))</formula>
    </cfRule>
    <cfRule type="expression" dxfId="0" priority="3">
      <formula>F4&gt;(TODAY()+90)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C3D6-6D2E-4CF6-BF3B-6BF21294BD4C}">
  <dimension ref="A1:H8"/>
  <sheetViews>
    <sheetView workbookViewId="0">
      <selection activeCell="J18" sqref="J18"/>
    </sheetView>
  </sheetViews>
  <sheetFormatPr defaultRowHeight="14.4" x14ac:dyDescent="0.3"/>
  <cols>
    <col min="1" max="1" width="3.6640625" bestFit="1" customWidth="1"/>
    <col min="2" max="2" width="7.33203125" bestFit="1" customWidth="1"/>
    <col min="4" max="5" width="20.33203125" customWidth="1"/>
    <col min="6" max="7" width="27.33203125" customWidth="1"/>
    <col min="8" max="8" width="24.33203125" customWidth="1"/>
  </cols>
  <sheetData>
    <row r="1" spans="1:8" ht="18" x14ac:dyDescent="0.35">
      <c r="A1" s="6" t="s">
        <v>0</v>
      </c>
      <c r="B1" s="6"/>
      <c r="C1" s="6"/>
      <c r="D1" s="6"/>
      <c r="E1" s="6"/>
      <c r="F1" s="6"/>
      <c r="G1" s="6"/>
      <c r="H1" s="4"/>
    </row>
    <row r="3" spans="1:8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18</v>
      </c>
      <c r="F3" s="3" t="s">
        <v>5</v>
      </c>
      <c r="G3" s="3" t="s">
        <v>6</v>
      </c>
      <c r="H3" s="3" t="s">
        <v>24</v>
      </c>
    </row>
    <row r="4" spans="1:8" x14ac:dyDescent="0.3">
      <c r="A4" s="1">
        <v>1</v>
      </c>
      <c r="B4" s="1" t="s">
        <v>8</v>
      </c>
      <c r="C4" s="1">
        <v>9</v>
      </c>
      <c r="D4" s="1" t="s">
        <v>13</v>
      </c>
      <c r="E4" s="1" t="s">
        <v>19</v>
      </c>
      <c r="F4" s="2">
        <v>45670</v>
      </c>
      <c r="G4" s="2">
        <v>46400</v>
      </c>
      <c r="H4" s="5" t="s">
        <v>25</v>
      </c>
    </row>
    <row r="5" spans="1:8" x14ac:dyDescent="0.3">
      <c r="A5" s="1">
        <v>2</v>
      </c>
      <c r="B5" s="1" t="s">
        <v>9</v>
      </c>
      <c r="C5" s="1">
        <v>7</v>
      </c>
      <c r="D5" s="1" t="s">
        <v>14</v>
      </c>
      <c r="E5" s="1" t="s">
        <v>20</v>
      </c>
      <c r="F5" s="2">
        <v>45657</v>
      </c>
      <c r="G5" s="2">
        <v>46387</v>
      </c>
      <c r="H5" s="5" t="s">
        <v>25</v>
      </c>
    </row>
    <row r="6" spans="1:8" x14ac:dyDescent="0.3">
      <c r="A6" s="1">
        <v>3</v>
      </c>
      <c r="B6" s="1" t="s">
        <v>10</v>
      </c>
      <c r="C6" s="1">
        <v>5</v>
      </c>
      <c r="D6" s="1" t="s">
        <v>15</v>
      </c>
      <c r="E6" s="1" t="s">
        <v>21</v>
      </c>
      <c r="F6" s="2">
        <v>45342</v>
      </c>
      <c r="G6" s="2">
        <v>46073</v>
      </c>
      <c r="H6" s="5" t="s">
        <v>25</v>
      </c>
    </row>
    <row r="7" spans="1:8" x14ac:dyDescent="0.3">
      <c r="A7" s="1">
        <v>4</v>
      </c>
      <c r="B7" s="1" t="s">
        <v>11</v>
      </c>
      <c r="C7" s="1">
        <v>4</v>
      </c>
      <c r="D7" s="1" t="s">
        <v>16</v>
      </c>
      <c r="E7" s="1" t="s">
        <v>22</v>
      </c>
      <c r="F7" s="2">
        <v>45247</v>
      </c>
      <c r="G7" s="2">
        <v>45978</v>
      </c>
      <c r="H7" s="5" t="s">
        <v>25</v>
      </c>
    </row>
    <row r="8" spans="1:8" x14ac:dyDescent="0.3">
      <c r="A8" s="1">
        <v>5</v>
      </c>
      <c r="B8" s="1" t="s">
        <v>12</v>
      </c>
      <c r="C8" s="1">
        <v>2</v>
      </c>
      <c r="D8" s="1" t="s">
        <v>17</v>
      </c>
      <c r="E8" s="1" t="s">
        <v>23</v>
      </c>
      <c r="F8" s="2">
        <v>45330</v>
      </c>
      <c r="G8" s="2">
        <v>46061</v>
      </c>
      <c r="H8" s="5" t="s">
        <v>25</v>
      </c>
    </row>
  </sheetData>
  <mergeCells count="1">
    <mergeCell ref="A1:G1"/>
  </mergeCells>
  <hyperlinks>
    <hyperlink ref="H4" r:id="rId1" xr:uid="{924892D8-2BEF-4E30-9DFE-28DD0110E3BD}"/>
    <hyperlink ref="H5:H8" r:id="rId2" display="rajazreenwork@gmail.com" xr:uid="{39968545-4534-40CD-A1D7-3C82BECAA74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SOP expiry date</vt:lpstr>
      <vt:lpstr>SOP owners</vt:lpstr>
      <vt:lpstr>'SOP owners'!A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Raja Nur Azreen</cp:lastModifiedBy>
  <dcterms:created xsi:type="dcterms:W3CDTF">2026-02-08T05:02:05Z</dcterms:created>
  <dcterms:modified xsi:type="dcterms:W3CDTF">2026-06-12T15:58:40Z</dcterms:modified>
</cp:coreProperties>
</file>